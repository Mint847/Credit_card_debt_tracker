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Advance Fees" sheetId="1" state="visible" r:id="rId3"/>
    <sheet name="Issu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<sst xmlns="http://schemas.openxmlformats.org/spreadsheetml/2006/main" count="149" uniqueCount="104">
  <si>
    <t xml:space="preserve">Sri Lanka credit card cash advance (upfront) fee by issuer</t>
  </si>
  <si>
    <t xml:space="preserve">Fees are set by each issuer, not by CBSL. Compiled 6 Oct 2026 from issuers' published tariffs; confirm current terms with the bank.</t>
  </si>
  <si>
    <t xml:space="preserve">Withdrawal amount (Rs.) - edit:</t>
  </si>
  <si>
    <t xml:space="preserve">Change this cell to see the fee at any amount (example value: Rs. 20,000)</t>
  </si>
  <si>
    <t xml:space="preserve">Bank</t>
  </si>
  <si>
    <t xml:space="preserve">Fee structure</t>
  </si>
  <si>
    <t xml:space="preserve">Fixed / minimum (Rs.)</t>
  </si>
  <si>
    <t xml:space="preserve">Percentage of amount</t>
  </si>
  <si>
    <t xml:space="preserve">Published fee (as written)</t>
  </si>
  <si>
    <t xml:space="preserve">Fee at amount (Rs.)</t>
  </si>
  <si>
    <t xml:space="preserve">Effective % of amount</t>
  </si>
  <si>
    <t xml:space="preserve">Effective date / vintage</t>
  </si>
  <si>
    <t xml:space="preserve">Source</t>
  </si>
  <si>
    <t xml:space="preserve">Notes</t>
  </si>
  <si>
    <t xml:space="preserve">Seylan Bank</t>
  </si>
  <si>
    <t xml:space="preserve">Greater of</t>
  </si>
  <si>
    <t xml:space="preserve">Rs. 700 or 4.0%, whichever is higher</t>
  </si>
  <si>
    <t xml:space="preserve">Published tariff (page shows July 2026 rates)</t>
  </si>
  <si>
    <t xml:space="preserve">seylan.lk cash-back credit card rates</t>
  </si>
  <si>
    <t xml:space="preserve">Same figure on its Signature/World tariffs; Mastercard Freedom card is free</t>
  </si>
  <si>
    <t xml:space="preserve">Bank of Ceylon</t>
  </si>
  <si>
    <t xml:space="preserve">4%, minimum Rs. 300</t>
  </si>
  <si>
    <t xml:space="preserve">Rates &amp; tariffs page (checked ~Aug 2026)</t>
  </si>
  <si>
    <t xml:space="preserve">boc.lk/rates-tariff</t>
  </si>
  <si>
    <t xml:space="preserve">Older BOC example showed Rs. 600 on Rs. 15,000 (4%)</t>
  </si>
  <si>
    <t xml:space="preserve">Sampath Bank</t>
  </si>
  <si>
    <t xml:space="preserve">4% of transaction value or minimum Rs. 300</t>
  </si>
  <si>
    <t xml:space="preserve">As at 15 May 2025</t>
  </si>
  <si>
    <t xml:space="preserve">sampath.lk cardcentre_charges.pdf</t>
  </si>
  <si>
    <t xml:space="preserve">Applies to Classic through Infinite tiers</t>
  </si>
  <si>
    <t xml:space="preserve">Commercial Bank (ATM)</t>
  </si>
  <si>
    <t xml:space="preserve">Rs. 500 or 4.5%, whichever is higher</t>
  </si>
  <si>
    <t xml:space="preserve">Effective 1 July 2026</t>
  </si>
  <si>
    <t xml:space="preserve">combank.lk/rates-tariff</t>
  </si>
  <si>
    <t xml:space="preserve">Silver/Gold shown; same formula on other tiers listed</t>
  </si>
  <si>
    <t xml:space="preserve">Commercial Bank (over the counter)</t>
  </si>
  <si>
    <t xml:space="preserve">Rs. 1,000 or 4.5%, whichever is higher</t>
  </si>
  <si>
    <t xml:space="preserve">Plus Rs. 1,000 manual cash advance handling fee on some tiers</t>
  </si>
  <si>
    <t xml:space="preserve">People's Bank</t>
  </si>
  <si>
    <t xml:space="preserve">3.5% of withdrawal or Rs. 500, whichever is higher</t>
  </si>
  <si>
    <t xml:space="preserve">2023 tariff</t>
  </si>
  <si>
    <t xml:space="preserve">peoplesbank.lk Credit-Card-Tariff_New.pdf</t>
  </si>
  <si>
    <t xml:space="preserve">A 2024 tariff PDF extracted ambiguously; verify. Loan-on-card has no cash advance fee</t>
  </si>
  <si>
    <t xml:space="preserve">Standard Chartered</t>
  </si>
  <si>
    <t xml:space="preserve">Flat</t>
  </si>
  <si>
    <t xml:space="preserve">Flat Rs. 990</t>
  </si>
  <si>
    <t xml:space="preserve">Effective 1 Oct 2024</t>
  </si>
  <si>
    <t xml:space="preserve">sc.com/lk credit card schedule of charges</t>
  </si>
  <si>
    <t xml:space="preserve">Flat amount regardless of withdrawal size</t>
  </si>
  <si>
    <t xml:space="preserve">HSBC</t>
  </si>
  <si>
    <t xml:space="preserve">Rs. 990 or 5%, whichever is greater</t>
  </si>
  <si>
    <t xml:space="preserve">Undated customer notice</t>
  </si>
  <si>
    <t xml:space="preserve">hsbc.lk important-update PDF</t>
  </si>
  <si>
    <t xml:space="preserve">Verify current figure</t>
  </si>
  <si>
    <t xml:space="preserve">DFCC Bank</t>
  </si>
  <si>
    <t xml:space="preserve">5%, minimum Rs. 1,250</t>
  </si>
  <si>
    <t xml:space="preserve">July 2026 tariff</t>
  </si>
  <si>
    <t xml:space="preserve">DFCC tariff leaflet (via advice.lk, 3 Aug 2026)</t>
  </si>
  <si>
    <t xml:space="preserve">Secondary source summarising DFCC's tariff</t>
  </si>
  <si>
    <t xml:space="preserve">NDB Bank</t>
  </si>
  <si>
    <t xml:space="preserve">Plus</t>
  </si>
  <si>
    <t xml:space="preserve">Rs. 1,200 + 5% on face value (local)</t>
  </si>
  <si>
    <t xml:space="preserve">Tariff eff. 1 May 2024; repeated in Aug 2025 tariff</t>
  </si>
  <si>
    <t xml:space="preserve">ndbbank.com credit card tariff</t>
  </si>
  <si>
    <t xml:space="preserve">International: USD 5 + 5%</t>
  </si>
  <si>
    <t xml:space="preserve">Nations Trust Bank (Amex)</t>
  </si>
  <si>
    <t xml:space="preserve">Rs. 1,250 + 5% on face value (local)</t>
  </si>
  <si>
    <t xml:space="preserve">Effective 2 July 2026</t>
  </si>
  <si>
    <t xml:space="preserve">americanexpress.lk tariffs PDF</t>
  </si>
  <si>
    <t xml:space="preserve">Union Bank</t>
  </si>
  <si>
    <t xml:space="preserve">Rs. 750 + 10% on face value (from 25 June 2026)</t>
  </si>
  <si>
    <t xml:space="preserve">From 25 June 2026 (previously Rs. 500 + 10%)</t>
  </si>
  <si>
    <t xml:space="preserve">unionb.com gold credit card tariff</t>
  </si>
  <si>
    <t xml:space="preserve">10% figure is as published; worth confirming with the bank</t>
  </si>
  <si>
    <t xml:space="preserve">Fee structure key: 'Greater of' = higher of the fixed minimum and the percentage; 'Plus' = fixed amount plus the percentage; 'Flat' = fixed amount only.</t>
  </si>
  <si>
    <t xml:space="preserve">Blue text = hardcoded inputs taken from published tariffs; black = formulas. Yellow cell C4 is the amount to edit.</t>
  </si>
  <si>
    <t xml:space="preserve">Not found: current tariffs for HNB, Pan Asia and Cargills Bank (see Issuers sheet). Interest on cash advances accrues from the withdrawal date and is separate from this fee.</t>
  </si>
  <si>
    <t xml:space="preserve">Excludes government levies/stamp duty and any ATM-owner fees.</t>
  </si>
  <si>
    <t xml:space="preserve">Credit card issuers - what CBSL reports and what was verified</t>
  </si>
  <si>
    <t xml:space="preserve">Institution</t>
  </si>
  <si>
    <t xml:space="preserve">Type</t>
  </si>
  <si>
    <t xml:space="preserve">Credit card tariff verified?</t>
  </si>
  <si>
    <t xml:space="preserve">Licensed commercial bank</t>
  </si>
  <si>
    <t xml:space="preserve">Yes</t>
  </si>
  <si>
    <t xml:space="preserve">Tariff from 2023; verify</t>
  </si>
  <si>
    <t xml:space="preserve">Commercial Bank of Ceylon</t>
  </si>
  <si>
    <t xml:space="preserve">National Development Bank (NDB)</t>
  </si>
  <si>
    <t xml:space="preserve">Nations Trust Bank</t>
  </si>
  <si>
    <t xml:space="preserve">Sole American Express issuer</t>
  </si>
  <si>
    <t xml:space="preserve">Undated notice</t>
  </si>
  <si>
    <t xml:space="preserve">Standard Chartered Bank</t>
  </si>
  <si>
    <t xml:space="preserve">Union Bank of Colombo</t>
  </si>
  <si>
    <t xml:space="preserve">Hatton National Bank (HNB)</t>
  </si>
  <si>
    <t xml:space="preserve">No</t>
  </si>
  <si>
    <t xml:space="preserve">Issues cards; only an outdated brochure figure found, not used</t>
  </si>
  <si>
    <t xml:space="preserve">Pan Asia Banking Corporation</t>
  </si>
  <si>
    <t xml:space="preserve">Issues cards; no tariff found</t>
  </si>
  <si>
    <t xml:space="preserve">Cargills Bank (probable 14th)</t>
  </si>
  <si>
    <t xml:space="preserve">Appears likely from CBSL table but unconfirmed</t>
  </si>
  <si>
    <t xml:space="preserve">4 licensed finance companies</t>
  </si>
  <si>
    <t xml:space="preserve">Licensed finance companies</t>
  </si>
  <si>
    <t xml:space="preserve">CBSL reports 4 licensed for credit cards; not identified or researched</t>
  </si>
  <si>
    <t xml:space="preserve">Source for counts: CBSL Payments Bulletin Q3 2025 - 14 licensed commercial banks and 4 licensed finance companies licensed for credit card business.</t>
  </si>
  <si>
    <t xml:space="preserve">Specialised banks (e.g. NSB) are not listed by CBSL as credit card issuers.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</si>
</sst>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38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20000</v>
      </c>
      <c r="D4" s="2" t="s">
        <v>3</v>
      </c>
    </row>
    <row r="6" customFormat="false" ht="3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26.85" hidden="false" customHeight="false" outlineLevel="0" collapsed="false">
      <c r="A7" s="6" t="s">
        <v>14</v>
      </c>
      <c r="B7" s="7" t="s">
        <v>15</v>
      </c>
      <c r="C7" s="8" t="n">
        <v>700</v>
      </c>
      <c r="D7" s="9" t="n">
        <v>0.04</v>
      </c>
      <c r="E7" s="6" t="s">
        <v>16</v>
      </c>
      <c r="F7" s="10" t="n">
        <f aca="false">IF(B7="Greater of",MAX(C7,D7*$C$4),IF(B7="Plus",C7+D7*$C$4,C7))</f>
        <v>800</v>
      </c>
      <c r="G7" s="11" t="n">
        <f aca="false">IF($C$4&gt;0,F7/$C$4,0)</f>
        <v>0.04</v>
      </c>
      <c r="H7" s="6" t="s">
        <v>17</v>
      </c>
      <c r="I7" s="6" t="s">
        <v>18</v>
      </c>
      <c r="J7" s="6" t="s">
        <v>19</v>
      </c>
    </row>
    <row r="8" customFormat="false" ht="26.85" hidden="false" customHeight="false" outlineLevel="0" collapsed="false">
      <c r="A8" s="6" t="s">
        <v>20</v>
      </c>
      <c r="B8" s="7" t="s">
        <v>15</v>
      </c>
      <c r="C8" s="8" t="n">
        <v>300</v>
      </c>
      <c r="D8" s="9" t="n">
        <v>0.04</v>
      </c>
      <c r="E8" s="6" t="s">
        <v>21</v>
      </c>
      <c r="F8" s="10" t="n">
        <f aca="false">IF(B8="Greater of",MAX(C8,D8*$C$4),IF(B8="Plus",C8+D8*$C$4,C8))</f>
        <v>800</v>
      </c>
      <c r="G8" s="11" t="n">
        <f aca="false">IF($C$4&gt;0,F8/$C$4,0)</f>
        <v>0.04</v>
      </c>
      <c r="H8" s="6" t="s">
        <v>22</v>
      </c>
      <c r="I8" s="6" t="s">
        <v>23</v>
      </c>
      <c r="J8" s="6" t="s">
        <v>24</v>
      </c>
    </row>
    <row r="9" customFormat="false" ht="15" hidden="false" customHeight="false" outlineLevel="0" collapsed="false">
      <c r="A9" s="6" t="s">
        <v>25</v>
      </c>
      <c r="B9" s="7" t="s">
        <v>15</v>
      </c>
      <c r="C9" s="8" t="n">
        <v>300</v>
      </c>
      <c r="D9" s="9" t="n">
        <v>0.04</v>
      </c>
      <c r="E9" s="6" t="s">
        <v>26</v>
      </c>
      <c r="F9" s="10" t="n">
        <f aca="false">IF(B9="Greater of",MAX(C9,D9*$C$4),IF(B9="Plus",C9+D9*$C$4,C9))</f>
        <v>800</v>
      </c>
      <c r="G9" s="11" t="n">
        <f aca="false">IF($C$4&gt;0,F9/$C$4,0)</f>
        <v>0.04</v>
      </c>
      <c r="H9" s="6" t="s">
        <v>27</v>
      </c>
      <c r="I9" s="6" t="s">
        <v>28</v>
      </c>
      <c r="J9" s="6" t="s">
        <v>29</v>
      </c>
    </row>
    <row r="10" customFormat="false" ht="15" hidden="false" customHeight="false" outlineLevel="0" collapsed="false">
      <c r="A10" s="6" t="s">
        <v>30</v>
      </c>
      <c r="B10" s="7" t="s">
        <v>15</v>
      </c>
      <c r="C10" s="8" t="n">
        <v>500</v>
      </c>
      <c r="D10" s="9" t="n">
        <v>0.045</v>
      </c>
      <c r="E10" s="6" t="s">
        <v>31</v>
      </c>
      <c r="F10" s="10" t="n">
        <f aca="false">IF(B10="Greater of",MAX(C10,D10*$C$4),IF(B10="Plus",C10+D10*$C$4,C10))</f>
        <v>900</v>
      </c>
      <c r="G10" s="11" t="n">
        <f aca="false">IF($C$4&gt;0,F10/$C$4,0)</f>
        <v>0.045</v>
      </c>
      <c r="H10" s="6" t="s">
        <v>32</v>
      </c>
      <c r="I10" s="6" t="s">
        <v>33</v>
      </c>
      <c r="J10" s="6" t="s">
        <v>34</v>
      </c>
    </row>
    <row r="11" customFormat="false" ht="26.85" hidden="false" customHeight="false" outlineLevel="0" collapsed="false">
      <c r="A11" s="6" t="s">
        <v>35</v>
      </c>
      <c r="B11" s="7" t="s">
        <v>15</v>
      </c>
      <c r="C11" s="8" t="n">
        <v>1000</v>
      </c>
      <c r="D11" s="9" t="n">
        <v>0.045</v>
      </c>
      <c r="E11" s="6" t="s">
        <v>36</v>
      </c>
      <c r="F11" s="10" t="n">
        <f aca="false">IF(B11="Greater of",MAX(C11,D11*$C$4),IF(B11="Plus",C11+D11*$C$4,C11))</f>
        <v>1000</v>
      </c>
      <c r="G11" s="11" t="n">
        <f aca="false">IF($C$4&gt;0,F11/$C$4,0)</f>
        <v>0.05</v>
      </c>
      <c r="H11" s="6" t="s">
        <v>32</v>
      </c>
      <c r="I11" s="6" t="s">
        <v>33</v>
      </c>
      <c r="J11" s="6" t="s">
        <v>37</v>
      </c>
    </row>
    <row r="12" customFormat="false" ht="26.85" hidden="false" customHeight="false" outlineLevel="0" collapsed="false">
      <c r="A12" s="6" t="s">
        <v>38</v>
      </c>
      <c r="B12" s="7" t="s">
        <v>15</v>
      </c>
      <c r="C12" s="8" t="n">
        <v>500</v>
      </c>
      <c r="D12" s="9" t="n">
        <v>0.035</v>
      </c>
      <c r="E12" s="6" t="s">
        <v>39</v>
      </c>
      <c r="F12" s="10" t="n">
        <f aca="false">IF(B12="Greater of",MAX(C12,D12*$C$4),IF(B12="Plus",C12+D12*$C$4,C12))</f>
        <v>700</v>
      </c>
      <c r="G12" s="11" t="n">
        <f aca="false">IF($C$4&gt;0,F12/$C$4,0)</f>
        <v>0.035</v>
      </c>
      <c r="H12" s="6" t="s">
        <v>40</v>
      </c>
      <c r="I12" s="6" t="s">
        <v>41</v>
      </c>
      <c r="J12" s="6" t="s">
        <v>42</v>
      </c>
    </row>
    <row r="13" customFormat="false" ht="26.85" hidden="false" customHeight="false" outlineLevel="0" collapsed="false">
      <c r="A13" s="6" t="s">
        <v>43</v>
      </c>
      <c r="B13" s="7" t="s">
        <v>44</v>
      </c>
      <c r="C13" s="8" t="n">
        <v>990</v>
      </c>
      <c r="D13" s="9" t="n">
        <v>0</v>
      </c>
      <c r="E13" s="6" t="s">
        <v>45</v>
      </c>
      <c r="F13" s="10" t="n">
        <f aca="false">IF(B13="Greater of",MAX(C13,D13*$C$4),IF(B13="Plus",C13+D13*$C$4,C13))</f>
        <v>990</v>
      </c>
      <c r="G13" s="11" t="n">
        <f aca="false">IF($C$4&gt;0,F13/$C$4,0)</f>
        <v>0.0495</v>
      </c>
      <c r="H13" s="6" t="s">
        <v>46</v>
      </c>
      <c r="I13" s="6" t="s">
        <v>47</v>
      </c>
      <c r="J13" s="6" t="s">
        <v>48</v>
      </c>
    </row>
    <row r="14" customFormat="false" ht="15" hidden="false" customHeight="false" outlineLevel="0" collapsed="false">
      <c r="A14" s="6" t="s">
        <v>49</v>
      </c>
      <c r="B14" s="7" t="s">
        <v>15</v>
      </c>
      <c r="C14" s="8" t="n">
        <v>990</v>
      </c>
      <c r="D14" s="9" t="n">
        <v>0.05</v>
      </c>
      <c r="E14" s="6" t="s">
        <v>50</v>
      </c>
      <c r="F14" s="10" t="n">
        <f aca="false">IF(B14="Greater of",MAX(C14,D14*$C$4),IF(B14="Plus",C14+D14*$C$4,C14))</f>
        <v>1000</v>
      </c>
      <c r="G14" s="11" t="n">
        <f aca="false">IF($C$4&gt;0,F14/$C$4,0)</f>
        <v>0.05</v>
      </c>
      <c r="H14" s="6" t="s">
        <v>51</v>
      </c>
      <c r="I14" s="6" t="s">
        <v>52</v>
      </c>
      <c r="J14" s="6" t="s">
        <v>53</v>
      </c>
    </row>
    <row r="15" customFormat="false" ht="26.85" hidden="false" customHeight="false" outlineLevel="0" collapsed="false">
      <c r="A15" s="6" t="s">
        <v>54</v>
      </c>
      <c r="B15" s="7" t="s">
        <v>15</v>
      </c>
      <c r="C15" s="8" t="n">
        <v>1250</v>
      </c>
      <c r="D15" s="9" t="n">
        <v>0.05</v>
      </c>
      <c r="E15" s="6" t="s">
        <v>55</v>
      </c>
      <c r="F15" s="10" t="n">
        <f aca="false">IF(B15="Greater of",MAX(C15,D15*$C$4),IF(B15="Plus",C15+D15*$C$4,C15))</f>
        <v>1250</v>
      </c>
      <c r="G15" s="11" t="n">
        <f aca="false">IF($C$4&gt;0,F15/$C$4,0)</f>
        <v>0.0625</v>
      </c>
      <c r="H15" s="6" t="s">
        <v>56</v>
      </c>
      <c r="I15" s="6" t="s">
        <v>57</v>
      </c>
      <c r="J15" s="6" t="s">
        <v>58</v>
      </c>
    </row>
    <row r="16" customFormat="false" ht="26.85" hidden="false" customHeight="false" outlineLevel="0" collapsed="false">
      <c r="A16" s="6" t="s">
        <v>59</v>
      </c>
      <c r="B16" s="7" t="s">
        <v>60</v>
      </c>
      <c r="C16" s="8" t="n">
        <v>1200</v>
      </c>
      <c r="D16" s="9" t="n">
        <v>0.05</v>
      </c>
      <c r="E16" s="6" t="s">
        <v>61</v>
      </c>
      <c r="F16" s="10" t="n">
        <f aca="false">IF(B16="Greater of",MAX(C16,D16*$C$4),IF(B16="Plus",C16+D16*$C$4,C16))</f>
        <v>2200</v>
      </c>
      <c r="G16" s="11" t="n">
        <f aca="false">IF($C$4&gt;0,F16/$C$4,0)</f>
        <v>0.11</v>
      </c>
      <c r="H16" s="6" t="s">
        <v>62</v>
      </c>
      <c r="I16" s="6" t="s">
        <v>63</v>
      </c>
      <c r="J16" s="6" t="s">
        <v>64</v>
      </c>
    </row>
    <row r="17" customFormat="false" ht="15" hidden="false" customHeight="false" outlineLevel="0" collapsed="false">
      <c r="A17" s="6" t="s">
        <v>65</v>
      </c>
      <c r="B17" s="7" t="s">
        <v>60</v>
      </c>
      <c r="C17" s="8" t="n">
        <v>1250</v>
      </c>
      <c r="D17" s="9" t="n">
        <v>0.05</v>
      </c>
      <c r="E17" s="6" t="s">
        <v>66</v>
      </c>
      <c r="F17" s="10" t="n">
        <f aca="false">IF(B17="Greater of",MAX(C17,D17*$C$4),IF(B17="Plus",C17+D17*$C$4,C17))</f>
        <v>2250</v>
      </c>
      <c r="G17" s="11" t="n">
        <f aca="false">IF($C$4&gt;0,F17/$C$4,0)</f>
        <v>0.1125</v>
      </c>
      <c r="H17" s="6" t="s">
        <v>67</v>
      </c>
      <c r="I17" s="6" t="s">
        <v>68</v>
      </c>
      <c r="J17" s="6" t="s">
        <v>64</v>
      </c>
    </row>
    <row r="18" customFormat="false" ht="26.85" hidden="false" customHeight="false" outlineLevel="0" collapsed="false">
      <c r="A18" s="6" t="s">
        <v>69</v>
      </c>
      <c r="B18" s="7" t="s">
        <v>60</v>
      </c>
      <c r="C18" s="8" t="n">
        <v>750</v>
      </c>
      <c r="D18" s="9" t="n">
        <v>0.1</v>
      </c>
      <c r="E18" s="6" t="s">
        <v>70</v>
      </c>
      <c r="F18" s="10" t="n">
        <f aca="false">IF(B18="Greater of",MAX(C18,D18*$C$4),IF(B18="Plus",C18+D18*$C$4,C18))</f>
        <v>2750</v>
      </c>
      <c r="G18" s="11" t="n">
        <f aca="false">IF($C$4&gt;0,F18/$C$4,0)</f>
        <v>0.1375</v>
      </c>
      <c r="H18" s="6" t="s">
        <v>71</v>
      </c>
      <c r="I18" s="6" t="s">
        <v>72</v>
      </c>
      <c r="J18" s="6" t="s">
        <v>73</v>
      </c>
    </row>
    <row r="20" customFormat="false" ht="15" hidden="false" customHeight="false" outlineLevel="0" collapsed="false">
      <c r="A20" s="2" t="s">
        <v>74</v>
      </c>
    </row>
    <row r="21" customFormat="false" ht="15" hidden="false" customHeight="false" outlineLevel="0" collapsed="false">
      <c r="A21" s="2" t="s">
        <v>75</v>
      </c>
    </row>
    <row r="22" customFormat="false" ht="15" hidden="false" customHeight="false" outlineLevel="0" collapsed="false">
      <c r="A22" s="2" t="s">
        <v>76</v>
      </c>
    </row>
    <row r="23" customFormat="false" ht="15" hidden="false" customHeight="false" outlineLevel="0" collapsed="false">
      <c r="A23" s="2" t="s">
        <v>77</v>
      </c>
    </row>
  </sheetData>
  <dataValidations count="1">
    <dataValidation allowBlank="false" errorStyle="stop" operator="between" showDropDown="false" showErrorMessage="false" showInputMessage="false" sqref="B7:B18" type="list">
      <formula1>"Greater of,Plus,Flat"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78</v>
      </c>
    </row>
    <row r="3" customFormat="false" ht="15" hidden="false" customHeight="false" outlineLevel="0" collapsed="false">
      <c r="A3" s="12" t="s">
        <v>79</v>
      </c>
      <c r="B3" s="12" t="s">
        <v>80</v>
      </c>
      <c r="C3" s="12" t="s">
        <v>81</v>
      </c>
      <c r="D3" s="12" t="s">
        <v>13</v>
      </c>
    </row>
    <row r="4" customFormat="false" ht="15" hidden="false" customHeight="false" outlineLevel="0" collapsed="false">
      <c r="A4" s="6" t="s">
        <v>20</v>
      </c>
      <c r="B4" s="6" t="s">
        <v>82</v>
      </c>
      <c r="C4" s="6" t="s">
        <v>83</v>
      </c>
      <c r="D4" s="6"/>
    </row>
    <row r="5" customFormat="false" ht="15" hidden="false" customHeight="false" outlineLevel="0" collapsed="false">
      <c r="A5" s="6" t="s">
        <v>38</v>
      </c>
      <c r="B5" s="6" t="s">
        <v>82</v>
      </c>
      <c r="C5" s="6" t="s">
        <v>83</v>
      </c>
      <c r="D5" s="6" t="s">
        <v>84</v>
      </c>
    </row>
    <row r="6" customFormat="false" ht="15" hidden="false" customHeight="false" outlineLevel="0" collapsed="false">
      <c r="A6" s="6" t="s">
        <v>85</v>
      </c>
      <c r="B6" s="6" t="s">
        <v>82</v>
      </c>
      <c r="C6" s="6" t="s">
        <v>83</v>
      </c>
      <c r="D6" s="6"/>
    </row>
    <row r="7" customFormat="false" ht="15" hidden="false" customHeight="false" outlineLevel="0" collapsed="false">
      <c r="A7" s="6" t="s">
        <v>25</v>
      </c>
      <c r="B7" s="6" t="s">
        <v>82</v>
      </c>
      <c r="C7" s="6" t="s">
        <v>83</v>
      </c>
      <c r="D7" s="6"/>
    </row>
    <row r="8" customFormat="false" ht="15" hidden="false" customHeight="false" outlineLevel="0" collapsed="false">
      <c r="A8" s="6" t="s">
        <v>14</v>
      </c>
      <c r="B8" s="6" t="s">
        <v>82</v>
      </c>
      <c r="C8" s="6" t="s">
        <v>83</v>
      </c>
      <c r="D8" s="6"/>
    </row>
    <row r="9" customFormat="false" ht="15" hidden="false" customHeight="false" outlineLevel="0" collapsed="false">
      <c r="A9" s="6" t="s">
        <v>86</v>
      </c>
      <c r="B9" s="6" t="s">
        <v>82</v>
      </c>
      <c r="C9" s="6" t="s">
        <v>83</v>
      </c>
      <c r="D9" s="6"/>
    </row>
    <row r="10" customFormat="false" ht="15" hidden="false" customHeight="false" outlineLevel="0" collapsed="false">
      <c r="A10" s="6" t="s">
        <v>87</v>
      </c>
      <c r="B10" s="6" t="s">
        <v>82</v>
      </c>
      <c r="C10" s="6" t="s">
        <v>83</v>
      </c>
      <c r="D10" s="6" t="s">
        <v>88</v>
      </c>
    </row>
    <row r="11" customFormat="false" ht="15" hidden="false" customHeight="false" outlineLevel="0" collapsed="false">
      <c r="A11" s="6" t="s">
        <v>54</v>
      </c>
      <c r="B11" s="6" t="s">
        <v>82</v>
      </c>
      <c r="C11" s="6" t="s">
        <v>83</v>
      </c>
      <c r="D11" s="6"/>
    </row>
    <row r="12" customFormat="false" ht="15" hidden="false" customHeight="false" outlineLevel="0" collapsed="false">
      <c r="A12" s="6" t="s">
        <v>49</v>
      </c>
      <c r="B12" s="6" t="s">
        <v>82</v>
      </c>
      <c r="C12" s="6" t="s">
        <v>83</v>
      </c>
      <c r="D12" s="6" t="s">
        <v>89</v>
      </c>
    </row>
    <row r="13" customFormat="false" ht="15" hidden="false" customHeight="false" outlineLevel="0" collapsed="false">
      <c r="A13" s="6" t="s">
        <v>90</v>
      </c>
      <c r="B13" s="6" t="s">
        <v>82</v>
      </c>
      <c r="C13" s="6" t="s">
        <v>83</v>
      </c>
      <c r="D13" s="6"/>
    </row>
    <row r="14" customFormat="false" ht="15" hidden="false" customHeight="false" outlineLevel="0" collapsed="false">
      <c r="A14" s="6" t="s">
        <v>91</v>
      </c>
      <c r="B14" s="6" t="s">
        <v>82</v>
      </c>
      <c r="C14" s="6" t="s">
        <v>83</v>
      </c>
      <c r="D14" s="6"/>
    </row>
    <row r="15" customFormat="false" ht="15" hidden="false" customHeight="false" outlineLevel="0" collapsed="false">
      <c r="A15" s="6" t="s">
        <v>92</v>
      </c>
      <c r="B15" s="6" t="s">
        <v>82</v>
      </c>
      <c r="C15" s="6" t="s">
        <v>93</v>
      </c>
      <c r="D15" s="6" t="s">
        <v>94</v>
      </c>
    </row>
    <row r="16" customFormat="false" ht="15" hidden="false" customHeight="false" outlineLevel="0" collapsed="false">
      <c r="A16" s="6" t="s">
        <v>95</v>
      </c>
      <c r="B16" s="6" t="s">
        <v>82</v>
      </c>
      <c r="C16" s="6" t="s">
        <v>93</v>
      </c>
      <c r="D16" s="6" t="s">
        <v>96</v>
      </c>
    </row>
    <row r="17" customFormat="false" ht="15" hidden="false" customHeight="false" outlineLevel="0" collapsed="false">
      <c r="A17" s="6" t="s">
        <v>97</v>
      </c>
      <c r="B17" s="6" t="s">
        <v>82</v>
      </c>
      <c r="C17" s="6" t="s">
        <v>93</v>
      </c>
      <c r="D17" s="6" t="s">
        <v>98</v>
      </c>
    </row>
    <row r="18" customFormat="false" ht="26.85" hidden="false" customHeight="false" outlineLevel="0" collapsed="false">
      <c r="A18" s="6" t="s">
        <v>99</v>
      </c>
      <c r="B18" s="6" t="s">
        <v>100</v>
      </c>
      <c r="C18" s="6" t="s">
        <v>93</v>
      </c>
      <c r="D18" s="6" t="s">
        <v>101</v>
      </c>
    </row>
    <row r="20" customFormat="false" ht="15" hidden="false" customHeight="false" outlineLevel="0" collapsed="false">
      <c r="A20" s="2" t="s">
        <v>102</v>
      </c>
    </row>
    <row r="21" customFormat="false" ht="15" hidden="false" customHeight="false" outlineLevel="0" collapsed="false">
      <c r="A21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2026-10-06T07:02:47Z</dcterms:created>
  <dc:creator>openpyxl</dc:creator>
  <dc:description/>
  <dc:language>en-US</dc:language>
  <cp:lastModifiedBy/>
  <dcterms:modified xsi:type="dcterms:W3CDTF">2026-10-06T07:02:47Z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